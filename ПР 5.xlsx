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20616" windowHeight="8112" activeTab="1"/>
  </bookViews>
  <sheets>
    <sheet name="Математика" sheetId="1" r:id="rId1"/>
    <sheet name="Расчет кредита" sheetId="2" r:id="rId2"/>
  </sheets>
  <calcPr calcId="162913"/>
</workbook>
</file>

<file path=xl/calcChain.xml><?xml version="1.0" encoding="utf-8"?>
<calcChain xmlns="http://schemas.openxmlformats.org/spreadsheetml/2006/main">
  <c r="B6" i="2" l="1"/>
  <c r="B7" i="2" s="1"/>
  <c r="B8" i="2" s="1"/>
  <c r="Z10" i="1"/>
  <c r="Z8" i="1"/>
  <c r="X8" i="1"/>
  <c r="I8" i="1"/>
  <c r="G8" i="1"/>
  <c r="H8" i="1" s="1"/>
  <c r="F8" i="1"/>
  <c r="AA7" i="1"/>
  <c r="Z7" i="1"/>
  <c r="X7" i="1"/>
  <c r="T7" i="1"/>
  <c r="I7" i="1"/>
  <c r="H7" i="1"/>
  <c r="G7" i="1"/>
  <c r="F7" i="1"/>
  <c r="AA6" i="1"/>
  <c r="Z6" i="1"/>
  <c r="X6" i="1"/>
  <c r="T6" i="1"/>
  <c r="I6" i="1"/>
  <c r="G6" i="1"/>
  <c r="H6" i="1" s="1"/>
  <c r="F6" i="1"/>
  <c r="AA5" i="1"/>
  <c r="Z5" i="1"/>
  <c r="X5" i="1"/>
  <c r="T5" i="1"/>
  <c r="I5" i="1"/>
  <c r="H5" i="1"/>
  <c r="G5" i="1"/>
  <c r="F5" i="1"/>
  <c r="AA4" i="1"/>
  <c r="Z4" i="1"/>
  <c r="X4" i="1"/>
  <c r="T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H2" i="1"/>
  <c r="G2" i="1"/>
  <c r="F2" i="1"/>
  <c r="AA1" i="1"/>
</calcChain>
</file>

<file path=xl/sharedStrings.xml><?xml version="1.0" encoding="utf-8"?>
<sst xmlns="http://schemas.openxmlformats.org/spreadsheetml/2006/main" count="42" uniqueCount="42">
  <si>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</si>
  <si>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</si>
  <si>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</si>
  <si>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</si>
  <si>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</si>
  <si>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</si>
  <si>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</si>
  <si>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</si>
  <si>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</si>
  <si>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</si>
  <si>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Начальная сумма</t>
  </si>
  <si>
    <t>Длина дуги</t>
  </si>
  <si>
    <t>Дуга через РАДИАНЫ</t>
  </si>
  <si>
    <t>Общая масса</t>
  </si>
  <si>
    <t>Ставка годовая</t>
  </si>
  <si>
    <t>Масса деталей &gt; 2 кг</t>
  </si>
  <si>
    <t>Срок, лет</t>
  </si>
  <si>
    <t>Средневзвешенная масса</t>
  </si>
  <si>
    <t>Сложный процент (формула 1)</t>
  </si>
  <si>
    <t>Кол-во деталей &gt; 2 кг</t>
  </si>
  <si>
    <t>Непрерывный процент</t>
  </si>
  <si>
    <t>Средняя масса</t>
  </si>
  <si>
    <t>Правило 72</t>
  </si>
  <si>
    <t>Максимальная масса</t>
  </si>
  <si>
    <t>Точное удвоение</t>
  </si>
  <si>
    <t>Минимальная масса</t>
  </si>
  <si>
    <t>Обратное преобр. (градусы)</t>
  </si>
  <si>
    <t>Параметр</t>
  </si>
  <si>
    <t>Значение</t>
  </si>
  <si>
    <t>Описание</t>
  </si>
  <si>
    <t>Сумма кредита</t>
  </si>
  <si>
    <t>Основной долг</t>
  </si>
  <si>
    <t>Годовая ставка</t>
  </si>
  <si>
    <t>Процентная ставка в год</t>
  </si>
  <si>
    <t>Срок (лет)</t>
  </si>
  <si>
    <t>Период погашения</t>
  </si>
  <si>
    <t>Ежемесячный платеж</t>
  </si>
  <si>
    <t>Аннуитетный платеж по формуле ПЛТ</t>
  </si>
  <si>
    <t>Общая сумма выплат</t>
  </si>
  <si>
    <t>Всего будет выплачено банку</t>
  </si>
  <si>
    <t>Переплата по кредиту</t>
  </si>
  <si>
    <t>Чистая стоимость кредита (проценты)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</si>
</sst>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1" xfId="0" applyNumberFormat="1" applyBorder="1"/>
    <xf numFmtId="9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opLeftCell="M1" workbookViewId="0"/>
  </sheetViews>
  <sheetFormatPr defaultRowHeight="14.4" x14ac:dyDescent="0.3"/>
  <cols>
    <col min="1" max="1" width="12" customWidth="1"/>
    <col min="2" max="3" width="16" customWidth="1"/>
    <col min="4" max="6" width="15" customWidth="1"/>
    <col min="7" max="7" width="23" customWidth="1"/>
    <col min="8" max="8" width="12" customWidth="1"/>
    <col min="9" max="9" width="16" customWidth="1"/>
    <col min="10" max="18" width="12" customWidth="1"/>
    <col min="19" max="19" width="30" customWidth="1"/>
    <col min="20" max="20" width="21" customWidth="1"/>
    <col min="21" max="23" width="12" customWidth="1"/>
    <col min="24" max="24" width="20" customWidth="1"/>
    <col min="25" max="25" width="29" customWidth="1"/>
    <col min="26" max="26" width="21" customWidth="1"/>
    <col min="27" max="27" width="38" customWidth="1"/>
    <col min="28" max="28" width="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>
        <v>3</v>
      </c>
      <c r="S1" t="s">
        <v>10</v>
      </c>
      <c r="T1">
        <v>100000</v>
      </c>
      <c r="X1" s="1" t="s">
        <v>11</v>
      </c>
      <c r="Y1">
        <v>60</v>
      </c>
      <c r="Z1" s="1" t="s">
        <v>12</v>
      </c>
      <c r="AA1">
        <f>SUM(D2:D8)</f>
        <v>21.799999999999997</v>
      </c>
      <c r="AB1" t="s">
        <v>13</v>
      </c>
    </row>
    <row r="2" spans="1:28" x14ac:dyDescent="0.3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S2" t="s">
        <v>14</v>
      </c>
      <c r="T2" s="4">
        <v>0.12</v>
      </c>
      <c r="X2" s="3">
        <f t="shared" ref="X2:X8" si="4">PI()*B2*$Y$1/180</f>
        <v>13.089969389957471</v>
      </c>
      <c r="Z2" s="3">
        <f t="shared" ref="Z2:Z8" si="5">B2*RADIANS($Y$1)</f>
        <v>13.089969389957471</v>
      </c>
      <c r="AA2">
        <f>SUMIF(D2:D8,"&gt;2")</f>
        <v>18.100000000000001</v>
      </c>
      <c r="AB2" t="s">
        <v>15</v>
      </c>
    </row>
    <row r="3" spans="1:28" x14ac:dyDescent="0.3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S3" t="s">
        <v>16</v>
      </c>
      <c r="T3">
        <v>5</v>
      </c>
      <c r="X3" s="3">
        <f t="shared" si="4"/>
        <v>8.6917396749317621</v>
      </c>
      <c r="Z3" s="3">
        <f t="shared" si="5"/>
        <v>8.6917396749317604</v>
      </c>
      <c r="AA3">
        <f>SUMPRODUCT(D2:D8,E2:E8)/SUM(E2:E8)</f>
        <v>4.0744612928970474</v>
      </c>
      <c r="AB3" t="s">
        <v>17</v>
      </c>
    </row>
    <row r="4" spans="1:28" x14ac:dyDescent="0.3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S4" t="s">
        <v>18</v>
      </c>
      <c r="T4" s="5">
        <f>T1*POWER(1+T2,T3)</f>
        <v>176234.16832000006</v>
      </c>
      <c r="X4" s="3">
        <f t="shared" si="4"/>
        <v>16.441001553786581</v>
      </c>
      <c r="Z4" s="3">
        <f t="shared" si="5"/>
        <v>16.441001553786581</v>
      </c>
      <c r="AA4">
        <f>COUNTIF(D2:D8,"&gt;2")</f>
        <v>4</v>
      </c>
      <c r="AB4" t="s">
        <v>19</v>
      </c>
    </row>
    <row r="5" spans="1:28" x14ac:dyDescent="0.3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S5" t="s">
        <v>20</v>
      </c>
      <c r="T5" s="5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>
        <f>AVERAGE(D2:D8)</f>
        <v>3.1142857142857139</v>
      </c>
      <c r="AB5" t="s">
        <v>21</v>
      </c>
    </row>
    <row r="6" spans="1:28" x14ac:dyDescent="0.3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S6" t="s">
        <v>22</v>
      </c>
      <c r="T6">
        <f>72/(T2*100)</f>
        <v>6</v>
      </c>
      <c r="X6" s="3">
        <f t="shared" si="4"/>
        <v>21.048670779051616</v>
      </c>
      <c r="Z6" s="3">
        <f t="shared" si="5"/>
        <v>21.048670779051612</v>
      </c>
      <c r="AA6">
        <f>MAX(D2:D8)</f>
        <v>6.5</v>
      </c>
      <c r="AB6" t="s">
        <v>23</v>
      </c>
    </row>
    <row r="7" spans="1:28" x14ac:dyDescent="0.3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S7" t="s">
        <v>24</v>
      </c>
      <c r="T7" s="6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>
        <f>MIN(D2:D8)</f>
        <v>0.7</v>
      </c>
      <c r="AB7" t="s">
        <v>25</v>
      </c>
    </row>
    <row r="8" spans="1:28" x14ac:dyDescent="0.3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X8" s="3">
        <f t="shared" si="4"/>
        <v>19.792033717615695</v>
      </c>
      <c r="Z8" s="3">
        <f t="shared" si="5"/>
        <v>19.792033717615695</v>
      </c>
    </row>
    <row r="10" spans="1:28" x14ac:dyDescent="0.3">
      <c r="Y10" t="s">
        <v>26</v>
      </c>
      <c r="Z10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4.4" x14ac:dyDescent="0.3"/>
  <cols>
    <col min="1" max="1" width="23" customWidth="1"/>
    <col min="2" max="2" width="26" customWidth="1"/>
    <col min="3" max="3" width="38" customWidth="1"/>
  </cols>
  <sheetData>
    <row r="1" spans="1:3" x14ac:dyDescent="0.3">
      <c r="A1" s="1" t="s">
        <v>27</v>
      </c>
      <c r="B1" s="1" t="s">
        <v>28</v>
      </c>
      <c r="C1" s="1" t="s">
        <v>29</v>
      </c>
    </row>
    <row r="2" spans="1:3" x14ac:dyDescent="0.3">
      <c r="A2" s="2" t="s">
        <v>30</v>
      </c>
      <c r="B2" s="7">
        <v>500000</v>
      </c>
      <c r="C2" s="2" t="s">
        <v>31</v>
      </c>
    </row>
    <row r="3" spans="1:3" x14ac:dyDescent="0.3">
      <c r="A3" s="2" t="s">
        <v>32</v>
      </c>
      <c r="B3" s="8">
        <v>0.18</v>
      </c>
      <c r="C3" s="2" t="s">
        <v>33</v>
      </c>
    </row>
    <row r="4" spans="1:3" x14ac:dyDescent="0.3">
      <c r="A4" s="2" t="s">
        <v>34</v>
      </c>
      <c r="B4" s="2">
        <v>3</v>
      </c>
      <c r="C4" s="2" t="s">
        <v>35</v>
      </c>
    </row>
    <row r="6" spans="1:3" x14ac:dyDescent="0.3">
      <c r="A6" s="9" t="s">
        <v>36</v>
      </c>
      <c r="B6" s="10">
        <f>PMT(B3/12, B4*12, -B2)</f>
        <v>18076.197767958416</v>
      </c>
      <c r="C6" s="2" t="s">
        <v>37</v>
      </c>
    </row>
    <row r="7" spans="1:3" x14ac:dyDescent="0.3">
      <c r="A7" s="9" t="s">
        <v>38</v>
      </c>
      <c r="B7" s="10">
        <f>B6*B4*12</f>
        <v>650743.11964650301</v>
      </c>
      <c r="C7" s="2" t="s">
        <v>39</v>
      </c>
    </row>
    <row r="8" spans="1:3" x14ac:dyDescent="0.3">
      <c r="A8" s="9" t="s">
        <v>40</v>
      </c>
      <c r="B8" s="10">
        <f>B7-B2</f>
        <v>150743.11964650301</v>
      </c>
      <c r="C8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2026-10-05T10:27:54Z</dcterms:created>
  <dcterms:modified xsi:type="dcterms:W3CDTF">2026-10-05T10:28:32Z</dcterms:modified>
</cp:coreProperties>
</file>