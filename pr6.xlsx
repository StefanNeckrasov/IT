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51600" windowHeight="17730"/>
  </bookViews>
  <sheets>
    <sheet name="Статистика" sheetId="1" r:id="rId1"/>
    <sheet name="Продажи" sheetId="2" r:id="rId2"/>
  </sheets>
  <calcPr calcId="162913"/>
</workbook>
</file>

<file path=xl/calcChain.xml><?xml version="1.0" encoding="utf-8"?>
<calcChain xmlns="http://schemas.openxmlformats.org/spreadsheetml/2006/main">
  <c r="F21" i="1" l="1"/>
  <c r="C33" i="2"/>
  <c r="H16" i="2"/>
  <c r="E16" i="2"/>
  <c r="F16" i="2" s="1"/>
  <c r="E15" i="2"/>
  <c r="F15" i="2" s="1"/>
  <c r="E14" i="2"/>
  <c r="H14" i="2" s="1"/>
  <c r="E13" i="2"/>
  <c r="H13" i="2" s="1"/>
  <c r="H12" i="2"/>
  <c r="E12" i="2"/>
  <c r="F12" i="2" s="1"/>
  <c r="E11" i="2"/>
  <c r="F11" i="2" s="1"/>
  <c r="E10" i="2"/>
  <c r="H10" i="2" s="1"/>
  <c r="E9" i="2"/>
  <c r="H9" i="2" s="1"/>
  <c r="H8" i="2"/>
  <c r="E8" i="2"/>
  <c r="F8" i="2" s="1"/>
  <c r="E7" i="2"/>
  <c r="F7" i="2" s="1"/>
  <c r="E6" i="2"/>
  <c r="H6" i="2" s="1"/>
  <c r="E5" i="2"/>
  <c r="H5" i="2" s="1"/>
  <c r="H4" i="2"/>
  <c r="E4" i="2"/>
  <c r="F4" i="2" s="1"/>
  <c r="E3" i="2"/>
  <c r="F3" i="2" s="1"/>
  <c r="E2" i="2"/>
  <c r="H15" i="2" s="1"/>
  <c r="E23" i="1"/>
  <c r="D23" i="1"/>
  <c r="C23" i="1"/>
  <c r="G22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H16" i="1"/>
  <c r="G16" i="1"/>
  <c r="F16" i="1"/>
  <c r="G15" i="1"/>
  <c r="H15" i="1" s="1"/>
  <c r="F15" i="1"/>
  <c r="I15" i="1" s="1"/>
  <c r="G14" i="1"/>
  <c r="H14" i="1" s="1"/>
  <c r="F14" i="1"/>
  <c r="I14" i="1" s="1"/>
  <c r="G13" i="1"/>
  <c r="H13" i="1" s="1"/>
  <c r="F13" i="1"/>
  <c r="I13" i="1" s="1"/>
  <c r="H12" i="1"/>
  <c r="G12" i="1"/>
  <c r="F12" i="1"/>
  <c r="G11" i="1"/>
  <c r="H11" i="1" s="1"/>
  <c r="F11" i="1"/>
  <c r="F19" i="1" s="1"/>
  <c r="G10" i="1"/>
  <c r="H10" i="1" s="1"/>
  <c r="F10" i="1"/>
  <c r="I10" i="1" s="1"/>
  <c r="G9" i="1"/>
  <c r="H9" i="1" s="1"/>
  <c r="F9" i="1"/>
  <c r="I9" i="1" s="1"/>
  <c r="H8" i="1"/>
  <c r="G8" i="1"/>
  <c r="F8" i="1"/>
  <c r="G7" i="1"/>
  <c r="H7" i="1" s="1"/>
  <c r="F7" i="1"/>
  <c r="I7" i="1" s="1"/>
  <c r="G6" i="1"/>
  <c r="H6" i="1" s="1"/>
  <c r="F6" i="1"/>
  <c r="I6" i="1" s="1"/>
  <c r="G5" i="1"/>
  <c r="H5" i="1" s="1"/>
  <c r="F5" i="1"/>
  <c r="I5" i="1" s="1"/>
  <c r="H4" i="1"/>
  <c r="G4" i="1"/>
  <c r="F4" i="1"/>
  <c r="G3" i="1"/>
  <c r="G18" i="1" s="1"/>
  <c r="F3" i="1"/>
  <c r="I3" i="1" s="1"/>
  <c r="G2" i="1"/>
  <c r="H2" i="1" s="1"/>
  <c r="F2" i="1"/>
  <c r="F22" i="1" s="1"/>
  <c r="G19" i="1" l="1"/>
  <c r="H3" i="1"/>
  <c r="E17" i="2"/>
  <c r="I11" i="1"/>
  <c r="F5" i="2"/>
  <c r="F9" i="2"/>
  <c r="F13" i="2"/>
  <c r="F23" i="1"/>
  <c r="G5" i="2"/>
  <c r="G9" i="2"/>
  <c r="G13" i="2"/>
  <c r="C20" i="2"/>
  <c r="F20" i="1"/>
  <c r="G23" i="1"/>
  <c r="C21" i="2"/>
  <c r="I4" i="1"/>
  <c r="I12" i="1"/>
  <c r="F2" i="2"/>
  <c r="F6" i="2"/>
  <c r="F10" i="2"/>
  <c r="F14" i="2"/>
  <c r="G2" i="2"/>
  <c r="G6" i="2"/>
  <c r="G10" i="2"/>
  <c r="G14" i="2"/>
  <c r="C24" i="2"/>
  <c r="C26" i="2"/>
  <c r="G20" i="1"/>
  <c r="C22" i="2"/>
  <c r="I8" i="1"/>
  <c r="I16" i="1"/>
  <c r="C23" i="2"/>
  <c r="H2" i="2"/>
  <c r="C25" i="2"/>
  <c r="F18" i="1"/>
  <c r="G21" i="1"/>
  <c r="C27" i="2"/>
  <c r="H3" i="2"/>
  <c r="H7" i="2"/>
  <c r="H11" i="2"/>
  <c r="I2" i="1"/>
  <c r="G15" i="2" l="1"/>
  <c r="G11" i="2"/>
  <c r="G7" i="2"/>
  <c r="G3" i="2"/>
  <c r="G16" i="2"/>
  <c r="G12" i="2"/>
  <c r="G8" i="2"/>
  <c r="G4" i="2"/>
  <c r="C32" i="2"/>
  <c r="C31" i="2"/>
  <c r="C30" i="2"/>
  <c r="G17" i="2"/>
</calcChain>
</file>

<file path=xl/sharedStrings.xml><?xml version="1.0" encoding="utf-8"?>
<sst xmlns="http://schemas.openxmlformats.org/spreadsheetml/2006/main" count="68" uniqueCount="60">
  <si>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</si>
  <si>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</si>
  <si>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</si>
  <si>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</si>
  <si>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</si>
  <si>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</si>
  <si>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</si>
  <si>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</si>
  <si>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</si>
  <si>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</si>
  <si>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</si>
  <si>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</si>
  <si>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</si>
  <si>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</si>
  <si>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</si>
  <si>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</si>
  <si>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</si>
  <si>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</si>
  <si>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</si>
  <si>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</si>
  <si>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</si>
  <si>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</si>
  <si>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</si>
  <si>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</si>
  <si>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Сумма</t>
  </si>
  <si>
    <t>Среднее</t>
  </si>
  <si>
    <t>Медиана</t>
  </si>
  <si>
    <t>Мода</t>
  </si>
  <si>
    <t>Минимум</t>
  </si>
  <si>
    <t>Максимум</t>
  </si>
  <si>
    <t>Товар</t>
  </si>
  <si>
    <t>Цена (руб.)</t>
  </si>
  <si>
    <t>Продано (шт.)</t>
  </si>
  <si>
    <t>Выручка</t>
  </si>
  <si>
    <t>Категория</t>
  </si>
  <si>
    <t>Доля (%)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</si>
  <si>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</si>
  <si>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</si>
  <si>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</si>
  <si>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</si>
  <si>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</si>
  <si>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</si>
  <si>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</si>
  <si>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</si>
  <si>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</si>
  <si>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</si>
  <si>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</si>
  <si>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</si>
  <si>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</si>
  <si>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</si>
  <si>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</si>
  <si>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Итого</t>
  </si>
  <si>
    <t>Статистика по выручке</t>
  </si>
  <si>
    <t>Стандартное отклонение</t>
  </si>
  <si>
    <t>Дисперсия</t>
  </si>
  <si>
    <t>По условию</t>
  </si>
  <si>
    <t>Количество товаров категории «Топ»</t>
  </si>
  <si>
    <t>Сумма выручки товаров категории «Топ»</t>
  </si>
  <si>
    <t>Средняя выручка товаров категории «Средний»</t>
  </si>
  <si>
    <t>Корреляция между ценой и продажами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</si>
</sst>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%"/>
    <numFmt numFmtId="166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2" fillId="0" borderId="1" xfId="0" applyFont="1" applyBorder="1"/>
    <xf numFmtId="3" fontId="2" fillId="0" borderId="1" xfId="0" applyNumberFormat="1" applyFont="1" applyBorder="1"/>
    <xf numFmtId="165" fontId="2" fillId="0" borderId="1" xfId="0" applyNumberFormat="1" applyFont="1" applyBorder="1"/>
    <xf numFmtId="0" fontId="2" fillId="0" borderId="0" xfId="0" applyFont="1"/>
    <xf numFmtId="0" fontId="0" fillId="0" borderId="1" xfId="0" applyBorder="1"/>
    <xf numFmtId="166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E5" sqref="E5"/>
    </sheetView>
  </sheetViews>
  <sheetFormatPr defaultRowHeight="15" x14ac:dyDescent="0.25"/>
  <cols>
    <col min="1" max="1" width="12" customWidth="1"/>
    <col min="2" max="2" width="17" customWidth="1"/>
    <col min="3" max="3" width="19" customWidth="1"/>
    <col min="4" max="4" width="20" customWidth="1"/>
    <col min="5" max="6" width="19" customWidth="1"/>
    <col min="7" max="7" width="20" customWidth="1"/>
    <col min="8" max="8" width="75" customWidth="1"/>
    <col min="9" max="9" width="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3" t="s">
        <v>9</v>
      </c>
      <c r="C2" s="4">
        <v>85</v>
      </c>
      <c r="D2" s="4">
        <v>78</v>
      </c>
      <c r="E2" s="4">
        <v>92</v>
      </c>
      <c r="F2" s="4">
        <f t="shared" ref="F2:F16" si="0">SUM(C2:E2)</f>
        <v>255</v>
      </c>
      <c r="G2" s="4">
        <f t="shared" ref="G2:G16" si="1">AVERAGE(C2:E2)</f>
        <v>85</v>
      </c>
      <c r="H2" s="2" t="str">
        <f t="shared" ref="H2:H16" si="2">IF(G2&gt;=90,"Отлично",IF(G2&gt;=75,"Хорошо",IF(G2&gt;=60,"Удовл.","Неуд.")))</f>
        <v>Хорошо</v>
      </c>
      <c r="I2" s="2">
        <f t="shared" ref="I2:I16" si="3">RANK(F2, $F$2:$F$16)</f>
        <v>6</v>
      </c>
    </row>
    <row r="3" spans="1:9" x14ac:dyDescent="0.25">
      <c r="A3" s="2">
        <v>2</v>
      </c>
      <c r="B3" s="3" t="s">
        <v>10</v>
      </c>
      <c r="C3" s="4">
        <v>72</v>
      </c>
      <c r="D3" s="4">
        <v>65</v>
      </c>
      <c r="E3" s="4">
        <v>80</v>
      </c>
      <c r="F3" s="4">
        <f t="shared" si="0"/>
        <v>217</v>
      </c>
      <c r="G3" s="4">
        <f t="shared" si="1"/>
        <v>72.333333333333329</v>
      </c>
      <c r="H3" s="2" t="str">
        <f t="shared" si="2"/>
        <v>Удовл.</v>
      </c>
      <c r="I3" s="2">
        <f t="shared" si="3"/>
        <v>10</v>
      </c>
    </row>
    <row r="4" spans="1:9" x14ac:dyDescent="0.25">
      <c r="A4" s="2">
        <v>3</v>
      </c>
      <c r="B4" s="3" t="s">
        <v>11</v>
      </c>
      <c r="C4" s="4">
        <v>95</v>
      </c>
      <c r="D4" s="4">
        <v>88</v>
      </c>
      <c r="E4" s="4">
        <v>98</v>
      </c>
      <c r="F4" s="4">
        <f t="shared" si="0"/>
        <v>281</v>
      </c>
      <c r="G4" s="4">
        <f t="shared" si="1"/>
        <v>93.666666666666671</v>
      </c>
      <c r="H4" s="2" t="str">
        <f t="shared" si="2"/>
        <v>Отлично</v>
      </c>
      <c r="I4" s="2">
        <f t="shared" si="3"/>
        <v>2</v>
      </c>
    </row>
    <row r="5" spans="1:9" x14ac:dyDescent="0.25">
      <c r="A5" s="2">
        <v>4</v>
      </c>
      <c r="B5" s="3" t="s">
        <v>12</v>
      </c>
      <c r="C5" s="4">
        <v>65</v>
      </c>
      <c r="D5" s="4">
        <v>55</v>
      </c>
      <c r="E5" s="4">
        <v>70</v>
      </c>
      <c r="F5" s="4">
        <f t="shared" si="0"/>
        <v>190</v>
      </c>
      <c r="G5" s="4">
        <f t="shared" si="1"/>
        <v>63.333333333333336</v>
      </c>
      <c r="H5" s="2" t="str">
        <f t="shared" si="2"/>
        <v>Удовл.</v>
      </c>
      <c r="I5" s="2">
        <f t="shared" si="3"/>
        <v>13</v>
      </c>
    </row>
    <row r="6" spans="1:9" x14ac:dyDescent="0.25">
      <c r="A6" s="2">
        <v>5</v>
      </c>
      <c r="B6" s="3" t="s">
        <v>13</v>
      </c>
      <c r="C6" s="4">
        <v>78</v>
      </c>
      <c r="D6" s="4">
        <v>82</v>
      </c>
      <c r="E6" s="4">
        <v>85</v>
      </c>
      <c r="F6" s="4">
        <f t="shared" si="0"/>
        <v>245</v>
      </c>
      <c r="G6" s="4">
        <f t="shared" si="1"/>
        <v>81.666666666666671</v>
      </c>
      <c r="H6" s="2" t="str">
        <f t="shared" si="2"/>
        <v>Хорошо</v>
      </c>
      <c r="I6" s="2">
        <f t="shared" si="3"/>
        <v>7</v>
      </c>
    </row>
    <row r="7" spans="1:9" x14ac:dyDescent="0.25">
      <c r="A7" s="2">
        <v>6</v>
      </c>
      <c r="B7" s="3" t="s">
        <v>14</v>
      </c>
      <c r="C7" s="4">
        <v>88</v>
      </c>
      <c r="D7" s="4">
        <v>90</v>
      </c>
      <c r="E7" s="4">
        <v>95</v>
      </c>
      <c r="F7" s="4">
        <f t="shared" si="0"/>
        <v>273</v>
      </c>
      <c r="G7" s="4">
        <f t="shared" si="1"/>
        <v>91</v>
      </c>
      <c r="H7" s="2" t="str">
        <f t="shared" si="2"/>
        <v>Отлично</v>
      </c>
      <c r="I7" s="2">
        <f t="shared" si="3"/>
        <v>4</v>
      </c>
    </row>
    <row r="8" spans="1:9" x14ac:dyDescent="0.25">
      <c r="A8" s="2">
        <v>7</v>
      </c>
      <c r="B8" s="3" t="s">
        <v>15</v>
      </c>
      <c r="C8" s="4">
        <v>65</v>
      </c>
      <c r="D8" s="4">
        <v>70</v>
      </c>
      <c r="E8" s="4">
        <v>68</v>
      </c>
      <c r="F8" s="4">
        <f t="shared" si="0"/>
        <v>203</v>
      </c>
      <c r="G8" s="4">
        <f t="shared" si="1"/>
        <v>67.666666666666671</v>
      </c>
      <c r="H8" s="2" t="str">
        <f t="shared" si="2"/>
        <v>Удовл.</v>
      </c>
      <c r="I8" s="2">
        <f t="shared" si="3"/>
        <v>12</v>
      </c>
    </row>
    <row r="9" spans="1:9" x14ac:dyDescent="0.25">
      <c r="A9" s="2">
        <v>8</v>
      </c>
      <c r="B9" s="3" t="s">
        <v>16</v>
      </c>
      <c r="C9" s="4">
        <v>92</v>
      </c>
      <c r="D9" s="4">
        <v>85</v>
      </c>
      <c r="E9" s="4">
        <v>88</v>
      </c>
      <c r="F9" s="4">
        <f t="shared" si="0"/>
        <v>265</v>
      </c>
      <c r="G9" s="4">
        <f t="shared" si="1"/>
        <v>88.333333333333329</v>
      </c>
      <c r="H9" s="2" t="str">
        <f t="shared" si="2"/>
        <v>Хорошо</v>
      </c>
      <c r="I9" s="2">
        <f t="shared" si="3"/>
        <v>5</v>
      </c>
    </row>
    <row r="10" spans="1:9" x14ac:dyDescent="0.25">
      <c r="A10" s="2">
        <v>9</v>
      </c>
      <c r="B10" s="3" t="s">
        <v>17</v>
      </c>
      <c r="C10" s="4">
        <v>55</v>
      </c>
      <c r="D10" s="4">
        <v>60</v>
      </c>
      <c r="E10" s="4">
        <v>58</v>
      </c>
      <c r="F10" s="4">
        <f t="shared" si="0"/>
        <v>173</v>
      </c>
      <c r="G10" s="4">
        <f t="shared" si="1"/>
        <v>57.666666666666664</v>
      </c>
      <c r="H10" s="2" t="str">
        <f t="shared" si="2"/>
        <v>Неуд.</v>
      </c>
      <c r="I10" s="2">
        <f t="shared" si="3"/>
        <v>15</v>
      </c>
    </row>
    <row r="11" spans="1:9" x14ac:dyDescent="0.25">
      <c r="A11" s="2">
        <v>10</v>
      </c>
      <c r="B11" s="3" t="s">
        <v>18</v>
      </c>
      <c r="C11" s="4">
        <v>80</v>
      </c>
      <c r="D11" s="4">
        <v>75</v>
      </c>
      <c r="E11" s="4">
        <v>82</v>
      </c>
      <c r="F11" s="4">
        <f t="shared" si="0"/>
        <v>237</v>
      </c>
      <c r="G11" s="4">
        <f t="shared" si="1"/>
        <v>79</v>
      </c>
      <c r="H11" s="2" t="str">
        <f t="shared" si="2"/>
        <v>Хорошо</v>
      </c>
      <c r="I11" s="2">
        <f t="shared" si="3"/>
        <v>8</v>
      </c>
    </row>
    <row r="12" spans="1:9" x14ac:dyDescent="0.25">
      <c r="A12" s="2">
        <v>11</v>
      </c>
      <c r="B12" s="3" t="s">
        <v>19</v>
      </c>
      <c r="C12" s="4">
        <v>70</v>
      </c>
      <c r="D12" s="4">
        <v>68</v>
      </c>
      <c r="E12" s="4">
        <v>72</v>
      </c>
      <c r="F12" s="4">
        <f t="shared" si="0"/>
        <v>210</v>
      </c>
      <c r="G12" s="4">
        <f t="shared" si="1"/>
        <v>70</v>
      </c>
      <c r="H12" s="2" t="str">
        <f t="shared" si="2"/>
        <v>Удовл.</v>
      </c>
      <c r="I12" s="2">
        <f t="shared" si="3"/>
        <v>11</v>
      </c>
    </row>
    <row r="13" spans="1:9" x14ac:dyDescent="0.25">
      <c r="A13" s="2">
        <v>12</v>
      </c>
      <c r="B13" s="3" t="s">
        <v>20</v>
      </c>
      <c r="C13" s="4">
        <v>90</v>
      </c>
      <c r="D13" s="4">
        <v>92</v>
      </c>
      <c r="E13" s="4">
        <v>94</v>
      </c>
      <c r="F13" s="4">
        <f t="shared" si="0"/>
        <v>276</v>
      </c>
      <c r="G13" s="4">
        <f t="shared" si="1"/>
        <v>92</v>
      </c>
      <c r="H13" s="2" t="str">
        <f t="shared" si="2"/>
        <v>Отлично</v>
      </c>
      <c r="I13" s="2">
        <f t="shared" si="3"/>
        <v>3</v>
      </c>
    </row>
    <row r="14" spans="1:9" x14ac:dyDescent="0.25">
      <c r="A14" s="2">
        <v>13</v>
      </c>
      <c r="B14" s="3" t="s">
        <v>21</v>
      </c>
      <c r="C14" s="4">
        <v>75</v>
      </c>
      <c r="D14" s="4">
        <v>78</v>
      </c>
      <c r="E14" s="4">
        <v>80</v>
      </c>
      <c r="F14" s="4">
        <f t="shared" si="0"/>
        <v>233</v>
      </c>
      <c r="G14" s="4">
        <f t="shared" si="1"/>
        <v>77.666666666666671</v>
      </c>
      <c r="H14" s="2" t="str">
        <f t="shared" si="2"/>
        <v>Хорошо</v>
      </c>
      <c r="I14" s="2">
        <f t="shared" si="3"/>
        <v>9</v>
      </c>
    </row>
    <row r="15" spans="1:9" x14ac:dyDescent="0.25">
      <c r="A15" s="2">
        <v>14</v>
      </c>
      <c r="B15" s="3" t="s">
        <v>22</v>
      </c>
      <c r="C15" s="4">
        <v>62</v>
      </c>
      <c r="D15" s="4">
        <v>58</v>
      </c>
      <c r="E15" s="4">
        <v>65</v>
      </c>
      <c r="F15" s="4">
        <f t="shared" si="0"/>
        <v>185</v>
      </c>
      <c r="G15" s="4">
        <f t="shared" si="1"/>
        <v>61.666666666666664</v>
      </c>
      <c r="H15" s="2" t="str">
        <f t="shared" si="2"/>
        <v>Удовл.</v>
      </c>
      <c r="I15" s="2">
        <f t="shared" si="3"/>
        <v>14</v>
      </c>
    </row>
    <row r="16" spans="1:9" x14ac:dyDescent="0.25">
      <c r="A16" s="2">
        <v>15</v>
      </c>
      <c r="B16" s="3" t="s">
        <v>23</v>
      </c>
      <c r="C16" s="4">
        <v>98</v>
      </c>
      <c r="D16" s="4">
        <v>95</v>
      </c>
      <c r="E16" s="4">
        <v>100</v>
      </c>
      <c r="F16" s="4">
        <f t="shared" si="0"/>
        <v>293</v>
      </c>
      <c r="G16" s="4">
        <f t="shared" si="1"/>
        <v>97.666666666666671</v>
      </c>
      <c r="H16" s="2" t="str">
        <f t="shared" si="2"/>
        <v>Отлично</v>
      </c>
      <c r="I16" s="2">
        <f t="shared" si="3"/>
        <v>1</v>
      </c>
    </row>
    <row r="18" spans="2:7" x14ac:dyDescent="0.25">
      <c r="B18" s="5" t="s">
        <v>24</v>
      </c>
      <c r="C18" s="4">
        <f>SUM(C2:C16)</f>
        <v>1170</v>
      </c>
      <c r="D18" s="4">
        <f>SUM(D2:D16)</f>
        <v>1139</v>
      </c>
      <c r="E18" s="4">
        <f>SUM(E2:E16)</f>
        <v>1227</v>
      </c>
      <c r="F18" s="4">
        <f>SUM(F2:F16)</f>
        <v>3536</v>
      </c>
      <c r="G18" s="6">
        <f>SUM(G2:G16)</f>
        <v>1178.6666666666667</v>
      </c>
    </row>
    <row r="19" spans="2:7" x14ac:dyDescent="0.25">
      <c r="B19" s="5" t="s">
        <v>25</v>
      </c>
      <c r="C19" s="6">
        <f>AVERAGE(C2:C16)</f>
        <v>78</v>
      </c>
      <c r="D19" s="6">
        <f>AVERAGE(D2:D16)</f>
        <v>75.933333333333337</v>
      </c>
      <c r="E19" s="6">
        <f>AVERAGE(E2:E16)</f>
        <v>81.8</v>
      </c>
      <c r="F19" s="6">
        <f>AVERAGE(F2:F16)</f>
        <v>235.73333333333332</v>
      </c>
      <c r="G19" s="6">
        <f>AVERAGE(G2:G16)</f>
        <v>78.577777777777783</v>
      </c>
    </row>
    <row r="20" spans="2:7" x14ac:dyDescent="0.25">
      <c r="B20" s="5" t="s">
        <v>26</v>
      </c>
      <c r="C20" s="4">
        <f>MEDIAN(C2:C16)</f>
        <v>78</v>
      </c>
      <c r="D20" s="4">
        <f>MEDIAN(D2:D16)</f>
        <v>78</v>
      </c>
      <c r="E20" s="4">
        <f>MEDIAN(E2:E16)</f>
        <v>82</v>
      </c>
      <c r="F20" s="4">
        <f>MEDIAN(F2:F16)</f>
        <v>237</v>
      </c>
      <c r="G20" s="6">
        <f>MEDIAN(G2:G16)</f>
        <v>79</v>
      </c>
    </row>
    <row r="21" spans="2:7" x14ac:dyDescent="0.25">
      <c r="B21" s="5" t="s">
        <v>27</v>
      </c>
      <c r="C21" s="4">
        <f>MODE(C2:C16)</f>
        <v>65</v>
      </c>
      <c r="D21" s="4">
        <f>MODE(D2:D16)</f>
        <v>78</v>
      </c>
      <c r="E21" s="4">
        <f>MODE(E2:E16)</f>
        <v>80</v>
      </c>
      <c r="F21" s="4" t="e">
        <f>MODE(F2:F16)</f>
        <v>#N/A</v>
      </c>
      <c r="G21" s="6" t="e">
        <f>MODE(G2:G16)</f>
        <v>#N/A</v>
      </c>
    </row>
    <row r="22" spans="2:7" x14ac:dyDescent="0.25">
      <c r="B22" s="5" t="s">
        <v>28</v>
      </c>
      <c r="C22" s="4">
        <f>MIN(C2:C16)</f>
        <v>55</v>
      </c>
      <c r="D22" s="4">
        <f>MIN(D2:D16)</f>
        <v>55</v>
      </c>
      <c r="E22" s="4">
        <f>MIN(E2:E16)</f>
        <v>58</v>
      </c>
      <c r="F22" s="4">
        <f>MIN(F2:F16)</f>
        <v>173</v>
      </c>
      <c r="G22" s="6">
        <f>MIN(G2:G16)</f>
        <v>57.666666666666664</v>
      </c>
    </row>
    <row r="23" spans="2:7" x14ac:dyDescent="0.25">
      <c r="B23" s="5" t="s">
        <v>29</v>
      </c>
      <c r="C23" s="4">
        <f>MAX(C2:C16)</f>
        <v>98</v>
      </c>
      <c r="D23" s="4">
        <f>MAX(D2:D16)</f>
        <v>95</v>
      </c>
      <c r="E23" s="4">
        <f>MAX(E2:E16)</f>
        <v>100</v>
      </c>
      <c r="F23" s="4">
        <f>MAX(F2:F16)</f>
        <v>293</v>
      </c>
      <c r="G23" s="6">
        <f>MAX(G2:G16)</f>
        <v>97.666666666666671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/>
  </sheetViews>
  <sheetFormatPr defaultRowHeight="15" x14ac:dyDescent="0.25"/>
  <cols>
    <col min="1" max="1" width="12" customWidth="1"/>
    <col min="2" max="2" width="46" customWidth="1"/>
    <col min="3" max="3" width="40" customWidth="1"/>
    <col min="4" max="4" width="16" customWidth="1"/>
    <col min="5" max="5" width="15" customWidth="1"/>
    <col min="6" max="6" width="61" customWidth="1"/>
    <col min="7" max="7" width="15" customWidth="1"/>
    <col min="8" max="8" width="25" customWidth="1"/>
  </cols>
  <sheetData>
    <row r="1" spans="1:8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8</v>
      </c>
    </row>
    <row r="2" spans="1:8" x14ac:dyDescent="0.25">
      <c r="A2" s="2">
        <v>1</v>
      </c>
      <c r="B2" s="3" t="s">
        <v>36</v>
      </c>
      <c r="C2" s="7">
        <v>45000</v>
      </c>
      <c r="D2" s="7">
        <v>12</v>
      </c>
      <c r="E2" s="7">
        <f t="shared" ref="E2:E16" si="0">C2*D2</f>
        <v>540000</v>
      </c>
      <c r="F2" s="2" t="str">
        <f t="shared" ref="F2:F16" si="1">IF(E2&gt;100000, "Топ", IF(E2&gt;50000, "Средний", "Низкий"))</f>
        <v>Топ</v>
      </c>
      <c r="G2" s="8">
        <f t="shared" ref="G2:G16" si="2">E2/$E$17</f>
        <v>0.20014083985026501</v>
      </c>
      <c r="H2" s="2">
        <f t="shared" ref="H2:H16" si="3">RANK(E2, $E$2:$E$16)</f>
        <v>2</v>
      </c>
    </row>
    <row r="3" spans="1:8" x14ac:dyDescent="0.25">
      <c r="A3" s="2">
        <v>2</v>
      </c>
      <c r="B3" s="3" t="s">
        <v>37</v>
      </c>
      <c r="C3" s="7">
        <v>18000</v>
      </c>
      <c r="D3" s="7">
        <v>25</v>
      </c>
      <c r="E3" s="7">
        <f t="shared" si="0"/>
        <v>450000</v>
      </c>
      <c r="F3" s="2" t="str">
        <f t="shared" si="1"/>
        <v>Топ</v>
      </c>
      <c r="G3" s="8">
        <f t="shared" si="2"/>
        <v>0.16678403320855417</v>
      </c>
      <c r="H3" s="2">
        <f t="shared" si="3"/>
        <v>3</v>
      </c>
    </row>
    <row r="4" spans="1:8" x14ac:dyDescent="0.25">
      <c r="A4" s="2">
        <v>3</v>
      </c>
      <c r="B4" s="3" t="s">
        <v>38</v>
      </c>
      <c r="C4" s="7">
        <v>15000</v>
      </c>
      <c r="D4" s="7">
        <v>60</v>
      </c>
      <c r="E4" s="7">
        <f t="shared" si="0"/>
        <v>900000</v>
      </c>
      <c r="F4" s="2" t="str">
        <f t="shared" si="1"/>
        <v>Топ</v>
      </c>
      <c r="G4" s="8">
        <f t="shared" si="2"/>
        <v>0.33356806641710834</v>
      </c>
      <c r="H4" s="2">
        <f t="shared" si="3"/>
        <v>1</v>
      </c>
    </row>
    <row r="5" spans="1:8" x14ac:dyDescent="0.25">
      <c r="A5" s="2">
        <v>4</v>
      </c>
      <c r="B5" s="3" t="s">
        <v>39</v>
      </c>
      <c r="C5" s="7">
        <v>800</v>
      </c>
      <c r="D5" s="7">
        <v>85</v>
      </c>
      <c r="E5" s="7">
        <f t="shared" si="0"/>
        <v>68000</v>
      </c>
      <c r="F5" s="2" t="str">
        <f t="shared" si="1"/>
        <v>Средний</v>
      </c>
      <c r="G5" s="8">
        <f t="shared" si="2"/>
        <v>2.5202920573737075E-2</v>
      </c>
      <c r="H5" s="2">
        <f t="shared" si="3"/>
        <v>9</v>
      </c>
    </row>
    <row r="6" spans="1:8" x14ac:dyDescent="0.25">
      <c r="A6" s="2">
        <v>5</v>
      </c>
      <c r="B6" s="3" t="s">
        <v>40</v>
      </c>
      <c r="C6" s="7">
        <v>12000</v>
      </c>
      <c r="D6" s="7">
        <v>8</v>
      </c>
      <c r="E6" s="7">
        <f t="shared" si="0"/>
        <v>96000</v>
      </c>
      <c r="F6" s="2" t="str">
        <f t="shared" si="1"/>
        <v>Средний</v>
      </c>
      <c r="G6" s="8">
        <f t="shared" si="2"/>
        <v>3.558059375115822E-2</v>
      </c>
      <c r="H6" s="2">
        <f t="shared" si="3"/>
        <v>5</v>
      </c>
    </row>
    <row r="7" spans="1:8" x14ac:dyDescent="0.25">
      <c r="A7" s="2">
        <v>6</v>
      </c>
      <c r="B7" s="3" t="s">
        <v>41</v>
      </c>
      <c r="C7" s="7">
        <v>9000</v>
      </c>
      <c r="D7" s="7">
        <v>6</v>
      </c>
      <c r="E7" s="7">
        <f t="shared" si="0"/>
        <v>54000</v>
      </c>
      <c r="F7" s="2" t="str">
        <f t="shared" si="1"/>
        <v>Средний</v>
      </c>
      <c r="G7" s="8">
        <f t="shared" si="2"/>
        <v>2.00140839850265E-2</v>
      </c>
      <c r="H7" s="2">
        <f t="shared" si="3"/>
        <v>12</v>
      </c>
    </row>
    <row r="8" spans="1:8" x14ac:dyDescent="0.25">
      <c r="A8" s="2">
        <v>7</v>
      </c>
      <c r="B8" s="3" t="s">
        <v>42</v>
      </c>
      <c r="C8" s="7">
        <v>600</v>
      </c>
      <c r="D8" s="7">
        <v>120</v>
      </c>
      <c r="E8" s="7">
        <f t="shared" si="0"/>
        <v>72000</v>
      </c>
      <c r="F8" s="2" t="str">
        <f t="shared" si="1"/>
        <v>Средний</v>
      </c>
      <c r="G8" s="8">
        <f t="shared" si="2"/>
        <v>2.6685445313368666E-2</v>
      </c>
      <c r="H8" s="2">
        <f t="shared" si="3"/>
        <v>7</v>
      </c>
    </row>
    <row r="9" spans="1:8" x14ac:dyDescent="0.25">
      <c r="A9" s="2">
        <v>8</v>
      </c>
      <c r="B9" s="3" t="s">
        <v>43</v>
      </c>
      <c r="C9" s="7">
        <v>5500</v>
      </c>
      <c r="D9" s="7">
        <v>15</v>
      </c>
      <c r="E9" s="7">
        <f t="shared" si="0"/>
        <v>82500</v>
      </c>
      <c r="F9" s="2" t="str">
        <f t="shared" si="1"/>
        <v>Средний</v>
      </c>
      <c r="G9" s="8">
        <f t="shared" si="2"/>
        <v>3.0577072754901596E-2</v>
      </c>
      <c r="H9" s="2">
        <f t="shared" si="3"/>
        <v>6</v>
      </c>
    </row>
    <row r="10" spans="1:8" x14ac:dyDescent="0.25">
      <c r="A10" s="2">
        <v>9</v>
      </c>
      <c r="B10" s="3" t="s">
        <v>44</v>
      </c>
      <c r="C10" s="7">
        <v>2800</v>
      </c>
      <c r="D10" s="7">
        <v>22</v>
      </c>
      <c r="E10" s="7">
        <f t="shared" si="0"/>
        <v>61600</v>
      </c>
      <c r="F10" s="2" t="str">
        <f t="shared" si="1"/>
        <v>Средний</v>
      </c>
      <c r="G10" s="8">
        <f t="shared" si="2"/>
        <v>2.2830880990326527E-2</v>
      </c>
      <c r="H10" s="2">
        <f t="shared" si="3"/>
        <v>11</v>
      </c>
    </row>
    <row r="11" spans="1:8" x14ac:dyDescent="0.25">
      <c r="A11" s="2">
        <v>10</v>
      </c>
      <c r="B11" s="3" t="s">
        <v>45</v>
      </c>
      <c r="C11" s="7">
        <v>3200</v>
      </c>
      <c r="D11" s="7">
        <v>35</v>
      </c>
      <c r="E11" s="7">
        <f t="shared" si="0"/>
        <v>112000</v>
      </c>
      <c r="F11" s="2" t="str">
        <f t="shared" si="1"/>
        <v>Топ</v>
      </c>
      <c r="G11" s="8">
        <f t="shared" si="2"/>
        <v>4.1510692709684591E-2</v>
      </c>
      <c r="H11" s="2">
        <f t="shared" si="3"/>
        <v>4</v>
      </c>
    </row>
    <row r="12" spans="1:8" x14ac:dyDescent="0.25">
      <c r="A12" s="2">
        <v>11</v>
      </c>
      <c r="B12" s="3" t="s">
        <v>46</v>
      </c>
      <c r="C12" s="7">
        <v>400</v>
      </c>
      <c r="D12" s="7">
        <v>90</v>
      </c>
      <c r="E12" s="7">
        <f t="shared" si="0"/>
        <v>36000</v>
      </c>
      <c r="F12" s="2" t="str">
        <f t="shared" si="1"/>
        <v>Низкий</v>
      </c>
      <c r="G12" s="8">
        <f t="shared" si="2"/>
        <v>1.3342722656684333E-2</v>
      </c>
      <c r="H12" s="2">
        <f t="shared" si="3"/>
        <v>15</v>
      </c>
    </row>
    <row r="13" spans="1:8" x14ac:dyDescent="0.25">
      <c r="A13" s="2">
        <v>12</v>
      </c>
      <c r="B13" s="3" t="s">
        <v>47</v>
      </c>
      <c r="C13" s="7">
        <v>1200</v>
      </c>
      <c r="D13" s="7">
        <v>40</v>
      </c>
      <c r="E13" s="7">
        <f t="shared" si="0"/>
        <v>48000</v>
      </c>
      <c r="F13" s="2" t="str">
        <f t="shared" si="1"/>
        <v>Низкий</v>
      </c>
      <c r="G13" s="8">
        <f t="shared" si="2"/>
        <v>1.779029687557911E-2</v>
      </c>
      <c r="H13" s="2">
        <f t="shared" si="3"/>
        <v>13</v>
      </c>
    </row>
    <row r="14" spans="1:8" x14ac:dyDescent="0.25">
      <c r="A14" s="2">
        <v>13</v>
      </c>
      <c r="B14" s="3" t="s">
        <v>48</v>
      </c>
      <c r="C14" s="7">
        <v>2500</v>
      </c>
      <c r="D14" s="7">
        <v>18</v>
      </c>
      <c r="E14" s="7">
        <f t="shared" si="0"/>
        <v>45000</v>
      </c>
      <c r="F14" s="2" t="str">
        <f t="shared" si="1"/>
        <v>Низкий</v>
      </c>
      <c r="G14" s="8">
        <f t="shared" si="2"/>
        <v>1.6678403320855417E-2</v>
      </c>
      <c r="H14" s="2">
        <f t="shared" si="3"/>
        <v>14</v>
      </c>
    </row>
    <row r="15" spans="1:8" x14ac:dyDescent="0.25">
      <c r="A15" s="2">
        <v>14</v>
      </c>
      <c r="B15" s="3" t="s">
        <v>49</v>
      </c>
      <c r="C15" s="7">
        <v>350</v>
      </c>
      <c r="D15" s="7">
        <v>200</v>
      </c>
      <c r="E15" s="7">
        <f t="shared" si="0"/>
        <v>70000</v>
      </c>
      <c r="F15" s="2" t="str">
        <f t="shared" si="1"/>
        <v>Средний</v>
      </c>
      <c r="G15" s="8">
        <f t="shared" si="2"/>
        <v>2.5944182943552871E-2</v>
      </c>
      <c r="H15" s="2">
        <f t="shared" si="3"/>
        <v>8</v>
      </c>
    </row>
    <row r="16" spans="1:8" x14ac:dyDescent="0.25">
      <c r="A16" s="2">
        <v>15</v>
      </c>
      <c r="B16" s="3" t="s">
        <v>50</v>
      </c>
      <c r="C16" s="7">
        <v>4500</v>
      </c>
      <c r="D16" s="7">
        <v>14</v>
      </c>
      <c r="E16" s="7">
        <f t="shared" si="0"/>
        <v>63000</v>
      </c>
      <c r="F16" s="2" t="str">
        <f t="shared" si="1"/>
        <v>Средний</v>
      </c>
      <c r="G16" s="8">
        <f t="shared" si="2"/>
        <v>2.3349764649197583E-2</v>
      </c>
      <c r="H16" s="2">
        <f t="shared" si="3"/>
        <v>10</v>
      </c>
    </row>
    <row r="17" spans="2:7" x14ac:dyDescent="0.25">
      <c r="B17" s="9" t="s">
        <v>51</v>
      </c>
      <c r="E17" s="10">
        <f>SUM(E2:E16)</f>
        <v>2698100</v>
      </c>
      <c r="G17" s="11">
        <f>SUM(G2:G16)</f>
        <v>0.99999999999999989</v>
      </c>
    </row>
    <row r="19" spans="2:7" x14ac:dyDescent="0.25">
      <c r="B19" s="12" t="s">
        <v>52</v>
      </c>
    </row>
    <row r="20" spans="2:7" x14ac:dyDescent="0.25">
      <c r="B20" s="13" t="s">
        <v>24</v>
      </c>
      <c r="C20" s="14">
        <f>SUM(E2:E16)</f>
        <v>2698100</v>
      </c>
    </row>
    <row r="21" spans="2:7" x14ac:dyDescent="0.25">
      <c r="B21" s="13" t="s">
        <v>25</v>
      </c>
      <c r="C21" s="14">
        <f>AVERAGE(E2:E16)</f>
        <v>179873.33333333334</v>
      </c>
    </row>
    <row r="22" spans="2:7" x14ac:dyDescent="0.25">
      <c r="B22" s="13" t="s">
        <v>26</v>
      </c>
      <c r="C22" s="14">
        <f>MEDIAN(E2:E16)</f>
        <v>70000</v>
      </c>
    </row>
    <row r="23" spans="2:7" x14ac:dyDescent="0.25">
      <c r="B23" s="13" t="s">
        <v>27</v>
      </c>
      <c r="C23" s="14" t="e">
        <f>MODE(E2:E16)</f>
        <v>#N/A</v>
      </c>
    </row>
    <row r="24" spans="2:7" x14ac:dyDescent="0.25">
      <c r="B24" s="13" t="s">
        <v>28</v>
      </c>
      <c r="C24" s="14">
        <f>MIN(E2:E16)</f>
        <v>36000</v>
      </c>
    </row>
    <row r="25" spans="2:7" x14ac:dyDescent="0.25">
      <c r="B25" s="13" t="s">
        <v>29</v>
      </c>
      <c r="C25" s="14">
        <f>MAX(E2:E16)</f>
        <v>900000</v>
      </c>
    </row>
    <row r="26" spans="2:7" x14ac:dyDescent="0.25">
      <c r="B26" s="13" t="s">
        <v>53</v>
      </c>
      <c r="C26" s="14">
        <f>STDEV(E2:E16)</f>
        <v>250479.90642726119</v>
      </c>
    </row>
    <row r="27" spans="2:7" x14ac:dyDescent="0.25">
      <c r="B27" s="13" t="s">
        <v>54</v>
      </c>
      <c r="C27" s="14">
        <f>VAR(E2:E16)</f>
        <v>62740183523.809517</v>
      </c>
    </row>
    <row r="29" spans="2:7" x14ac:dyDescent="0.25">
      <c r="B29" s="12" t="s">
        <v>55</v>
      </c>
    </row>
    <row r="30" spans="2:7" x14ac:dyDescent="0.25">
      <c r="B30" s="13" t="s">
        <v>56</v>
      </c>
      <c r="C30" s="4">
        <f>COUNTIF(F2:F16, "Топ")</f>
        <v>4</v>
      </c>
    </row>
    <row r="31" spans="2:7" x14ac:dyDescent="0.25">
      <c r="B31" s="13" t="s">
        <v>57</v>
      </c>
      <c r="C31" s="14">
        <f>SUMIF(F2:F16, "Топ", E2:E16)</f>
        <v>2002000</v>
      </c>
    </row>
    <row r="32" spans="2:7" x14ac:dyDescent="0.25">
      <c r="B32" s="13" t="s">
        <v>58</v>
      </c>
      <c r="C32" s="14">
        <f>AVERAGEIF(F2:F16, "Средний", E2:E16)</f>
        <v>70887.5</v>
      </c>
    </row>
    <row r="33" spans="2:3" x14ac:dyDescent="0.25">
      <c r="B33" s="13" t="s">
        <v>59</v>
      </c>
      <c r="C33" s="15">
        <f>CORREL(C2:C16, D2:D16)</f>
        <v>-0.37980142378141196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Продажи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2026-10-19T10:45:03Z</dcterms:created>
  <dcterms:modified xsi:type="dcterms:W3CDTF">2026-10-19T10:49:32Z</dcterms:modified>
</cp:coreProperties>
</file>